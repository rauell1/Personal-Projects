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Sheet1!$B$14:$B$16</definedName>
  </definedNames>
  <calcPr/>
</workbook>
</file>

<file path=xl/sharedStrings.xml><?xml version="1.0" encoding="utf-8"?>
<sst xmlns="http://schemas.openxmlformats.org/spreadsheetml/2006/main" count="62" uniqueCount="34">
  <si>
    <t>Attendee Name</t>
  </si>
  <si>
    <t>Email</t>
  </si>
  <si>
    <t>Registration Status</t>
  </si>
  <si>
    <t>Attendance Status</t>
  </si>
  <si>
    <t>Ticket Type</t>
  </si>
  <si>
    <t>Registered Attendees</t>
  </si>
  <si>
    <t>Total Attended</t>
  </si>
  <si>
    <t>Alice Kim</t>
  </si>
  <si>
    <t>alice.kim@gmail.com</t>
  </si>
  <si>
    <t>Registered</t>
  </si>
  <si>
    <t>Attended</t>
  </si>
  <si>
    <t>Paid</t>
  </si>
  <si>
    <t>Brian Otieno</t>
  </si>
  <si>
    <t>brian.otieno@gmail.com</t>
  </si>
  <si>
    <t>Absent</t>
  </si>
  <si>
    <t>Free</t>
  </si>
  <si>
    <t>Clara Mendez</t>
  </si>
  <si>
    <t>clara.mendez@gmail.com</t>
  </si>
  <si>
    <t>David Smith</t>
  </si>
  <si>
    <t>david.smith@gmail.com</t>
  </si>
  <si>
    <t>Not Registered</t>
  </si>
  <si>
    <t>Esther Wangari</t>
  </si>
  <si>
    <t>esther.wangari@gmail.com</t>
  </si>
  <si>
    <t>Felix Njoroge</t>
  </si>
  <si>
    <t>felix.njoroge@gmail.com</t>
  </si>
  <si>
    <t>Grace Achieng</t>
  </si>
  <si>
    <t>grace.achieng@gmail.com</t>
  </si>
  <si>
    <t>Henry Johnson</t>
  </si>
  <si>
    <t>henry.johnson@gmail.com</t>
  </si>
  <si>
    <t>Irene Wambui</t>
  </si>
  <si>
    <t>irene.wambui@gmail.com</t>
  </si>
  <si>
    <t>John Doe</t>
  </si>
  <si>
    <t>john.doe@gmail.com</t>
  </si>
  <si>
    <t xml:space="preserve">Paid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</si>
</sst>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/>
    </xf>
    <xf borderId="0" fillId="0" fontId="2" numFmtId="0" xfId="0" applyAlignment="1" applyFont="1">
      <alignment horizontal="left"/>
    </xf>
    <xf borderId="0" fillId="0" fontId="2" numFmtId="0" xfId="0" applyFont="1"/>
    <xf borderId="0" fillId="0" fontId="3" numFmtId="0" xfId="0" applyFont="1"/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Attendance by Ticket type</a:t>
            </a:r>
          </a:p>
        </c:rich>
      </c:tx>
      <c:overlay val="0"/>
    </c:title>
    <c:view3D>
      <c:rotX val="50"/>
      <c:perspective val="0"/>
    </c:view3D>
    <c:plotArea>
      <c:layout/>
      <c:pie3DChart>
        <c:varyColors val="1"/>
        <c:ser>
          <c:idx val="0"/>
          <c:order val="0"/>
          <c:tx>
            <c:strRef>
              <c:f>Sheet1!$B$15</c:f>
            </c:strRef>
          </c:tx>
          <c:dPt>
            <c:idx val="0"/>
            <c:spPr>
              <a:solidFill>
                <a:srgbClr val="4285F4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Sheet1!$C$14:$D$14</c:f>
            </c:strRef>
          </c:cat>
          <c:val>
            <c:numRef>
              <c:f>Sheet1!$C$15:$D$15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66675</xdr:colOff>
      <xdr:row>2</xdr:row>
      <xdr:rowOff>66675</xdr:rowOff>
    </xdr:from>
    <xdr:ext cx="4848225" cy="30003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66675</xdr:colOff>
      <xdr:row>19</xdr:row>
      <xdr:rowOff>76200</xdr:rowOff>
    </xdr:from>
    <xdr:ext cx="4848225" cy="3000375"/>
    <xdr:pic>
      <xdr:nvPicPr>
        <xdr:cNvPr id="0" name="image1.png" title="Chart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alice.kim@email.com" TargetMode="External"/><Relationship Id="rId2" Type="http://schemas.openxmlformats.org/officeDocument/2006/relationships/hyperlink" Target="mailto:brian.otieno@email.com" TargetMode="External"/><Relationship Id="rId3" Type="http://schemas.openxmlformats.org/officeDocument/2006/relationships/hyperlink" Target="mailto:clara.mendez@email.com" TargetMode="External"/><Relationship Id="rId4" Type="http://schemas.openxmlformats.org/officeDocument/2006/relationships/hyperlink" Target="mailto:david.smith@email.com" TargetMode="External"/><Relationship Id="rId11" Type="http://schemas.openxmlformats.org/officeDocument/2006/relationships/drawing" Target="../drawings/drawing1.xml"/><Relationship Id="rId10" Type="http://schemas.openxmlformats.org/officeDocument/2006/relationships/hyperlink" Target="mailto:john.doe@email.com" TargetMode="External"/><Relationship Id="rId9" Type="http://schemas.openxmlformats.org/officeDocument/2006/relationships/hyperlink" Target="mailto:irene.wambui@email.com" TargetMode="External"/><Relationship Id="rId5" Type="http://schemas.openxmlformats.org/officeDocument/2006/relationships/hyperlink" Target="mailto:esther.wangari@email.com" TargetMode="External"/><Relationship Id="rId6" Type="http://schemas.openxmlformats.org/officeDocument/2006/relationships/hyperlink" Target="mailto:felix.njoroge@email.com" TargetMode="External"/><Relationship Id="rId7" Type="http://schemas.openxmlformats.org/officeDocument/2006/relationships/hyperlink" Target="mailto:grace.achieng@email.com" TargetMode="External"/><Relationship Id="rId8" Type="http://schemas.openxmlformats.org/officeDocument/2006/relationships/hyperlink" Target="mailto:henry.johnson@e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7.63"/>
    <col customWidth="1" min="2" max="2" width="21.88"/>
    <col customWidth="1" min="3" max="3" width="16.63"/>
    <col customWidth="1" min="4" max="4" width="15.88"/>
    <col customWidth="1" min="5" max="5" width="10.63"/>
    <col customWidth="1" min="6" max="6" width="17.38"/>
    <col customWidth="1" min="7" max="7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ht="15.75" customHeight="1">
      <c r="A2" s="3" t="s">
        <v>7</v>
      </c>
      <c r="B2" s="4" t="s">
        <v>8</v>
      </c>
      <c r="C2" s="3" t="s">
        <v>9</v>
      </c>
      <c r="D2" s="3" t="s">
        <v>10</v>
      </c>
      <c r="E2" s="3" t="s">
        <v>11</v>
      </c>
      <c r="F2" s="3">
        <f>COUNTIF(C2:C11, "Registered")</f>
        <v>8</v>
      </c>
      <c r="G2" s="3">
        <f>COUNTIF(D2:D11, "Attended")</f>
        <v>5</v>
      </c>
    </row>
    <row r="3" ht="15.75" customHeight="1">
      <c r="A3" s="3" t="s">
        <v>12</v>
      </c>
      <c r="B3" s="4" t="s">
        <v>13</v>
      </c>
      <c r="C3" s="3" t="s">
        <v>9</v>
      </c>
      <c r="D3" s="3" t="s">
        <v>14</v>
      </c>
      <c r="E3" s="3" t="s">
        <v>15</v>
      </c>
    </row>
    <row r="4" ht="15.75" customHeight="1">
      <c r="A4" s="3" t="s">
        <v>16</v>
      </c>
      <c r="B4" s="4" t="s">
        <v>17</v>
      </c>
      <c r="C4" s="3" t="s">
        <v>9</v>
      </c>
      <c r="D4" s="3" t="s">
        <v>10</v>
      </c>
      <c r="E4" s="3" t="s">
        <v>11</v>
      </c>
    </row>
    <row r="5" ht="15.75" customHeight="1">
      <c r="A5" s="3" t="s">
        <v>18</v>
      </c>
      <c r="B5" s="4" t="s">
        <v>19</v>
      </c>
      <c r="C5" s="3" t="s">
        <v>20</v>
      </c>
      <c r="D5" s="3" t="s">
        <v>14</v>
      </c>
      <c r="E5" s="3" t="s">
        <v>15</v>
      </c>
    </row>
    <row r="6" ht="15.75" customHeight="1">
      <c r="A6" s="3" t="s">
        <v>21</v>
      </c>
      <c r="B6" s="4" t="s">
        <v>22</v>
      </c>
      <c r="C6" s="3" t="s">
        <v>9</v>
      </c>
      <c r="D6" s="3" t="s">
        <v>10</v>
      </c>
      <c r="E6" s="3" t="s">
        <v>11</v>
      </c>
    </row>
    <row r="7" ht="15.75" customHeight="1">
      <c r="A7" s="3" t="s">
        <v>23</v>
      </c>
      <c r="B7" s="4" t="s">
        <v>24</v>
      </c>
      <c r="C7" s="3" t="s">
        <v>9</v>
      </c>
      <c r="D7" s="3" t="s">
        <v>14</v>
      </c>
      <c r="E7" s="3" t="s">
        <v>15</v>
      </c>
    </row>
    <row r="8" ht="15.75" customHeight="1">
      <c r="A8" s="3" t="s">
        <v>25</v>
      </c>
      <c r="B8" s="4" t="s">
        <v>26</v>
      </c>
      <c r="C8" s="3" t="s">
        <v>9</v>
      </c>
      <c r="D8" s="3" t="s">
        <v>10</v>
      </c>
      <c r="E8" s="3" t="s">
        <v>15</v>
      </c>
    </row>
    <row r="9" ht="15.75" customHeight="1">
      <c r="A9" s="3" t="s">
        <v>27</v>
      </c>
      <c r="B9" s="4" t="s">
        <v>28</v>
      </c>
      <c r="C9" s="3" t="s">
        <v>9</v>
      </c>
      <c r="D9" s="3" t="s">
        <v>10</v>
      </c>
      <c r="E9" s="3" t="s">
        <v>11</v>
      </c>
    </row>
    <row r="10" ht="15.75" customHeight="1">
      <c r="A10" s="3" t="s">
        <v>29</v>
      </c>
      <c r="B10" s="4" t="s">
        <v>30</v>
      </c>
      <c r="C10" s="3" t="s">
        <v>20</v>
      </c>
      <c r="D10" s="3" t="s">
        <v>14</v>
      </c>
      <c r="E10" s="3" t="s">
        <v>15</v>
      </c>
    </row>
    <row r="11" ht="15.75" customHeight="1">
      <c r="A11" s="3" t="s">
        <v>31</v>
      </c>
      <c r="B11" s="4" t="s">
        <v>32</v>
      </c>
      <c r="C11" s="3" t="s">
        <v>9</v>
      </c>
      <c r="D11" s="3" t="s">
        <v>14</v>
      </c>
      <c r="E11" s="3" t="s">
        <v>11</v>
      </c>
    </row>
    <row r="12" ht="15.75" customHeight="1"/>
    <row r="13" ht="15.75" customHeight="1"/>
    <row r="14" ht="15.75" customHeight="1">
      <c r="B14" s="5" t="s">
        <v>4</v>
      </c>
      <c r="C14" s="5" t="s">
        <v>10</v>
      </c>
      <c r="D14" s="5" t="s">
        <v>14</v>
      </c>
    </row>
    <row r="15" ht="15.75" customHeight="1">
      <c r="B15" s="5" t="s">
        <v>33</v>
      </c>
      <c r="C15" s="3">
        <f>COUNTIFS(E2:E11,"Paid",D2:D11,"Attended")</f>
        <v>4</v>
      </c>
      <c r="D15" s="3">
        <f>COUNTIFS(E2:E11,"Paid",D2:D11,"Absent")</f>
        <v>1</v>
      </c>
    </row>
    <row r="16" ht="15.75" hidden="1" customHeight="1">
      <c r="B16" s="5" t="s">
        <v>15</v>
      </c>
      <c r="C16" s="3">
        <f>COUNTIFS(E2:E11,"Free",D2:D11,"Attended")</f>
        <v>1</v>
      </c>
      <c r="D16" s="3">
        <f>COUNTIFS(E2:E11,"Free",D2:D11,"Absent")</f>
        <v>4</v>
      </c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B$14:$B$16">
    <filterColumn colId="0">
      <filters>
        <filter val="Paid"/>
      </filters>
    </filterColumn>
  </autoFilter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</hyperlinks>
  <drawing r:id="rId11"/>
</worksheet>
</file>